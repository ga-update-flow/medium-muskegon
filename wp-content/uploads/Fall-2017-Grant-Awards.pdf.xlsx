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50" windowWidth="13395" windowHeight="10290"/>
  </bookViews>
  <sheets>
    <sheet name="Muskegon Fall 2017" sheetId="1" r:id="rId1"/>
    <sheet name="Muskegon Spring 2018" sheetId="2" r:id="rId2"/>
    <sheet name="Mason Spring 2018" sheetId="3" r:id="rId3"/>
  </sheets>
  <calcPr calcId="145621"/>
</workbook>
</file>

<file path=xl/calcChain.xml><?xml version="1.0" encoding="utf-8"?>
<calcChain xmlns="http://schemas.openxmlformats.org/spreadsheetml/2006/main">
  <c r="D32" i="1" l="1"/>
  <c r="D46" i="2" l="1"/>
</calcChain>
</file>

<file path=xl/sharedStrings.xml><?xml version="1.0" encoding="utf-8"?>
<sst xmlns="http://schemas.openxmlformats.org/spreadsheetml/2006/main" count="359" uniqueCount="287">
  <si>
    <t>Purpose</t>
  </si>
  <si>
    <t>Goodwill Industries of West Michigan, Inc.</t>
  </si>
  <si>
    <t>Volunteer Income Tax Assistance (VITA)</t>
  </si>
  <si>
    <t xml:space="preserve">To help fund intern positions for the VITA program which helps </t>
  </si>
  <si>
    <t>Land Conservancy of West Michigan</t>
  </si>
  <si>
    <t>Flower Creek Dunes Nature Preserve Addition</t>
  </si>
  <si>
    <t>To purchase a 17-acre addition to Flower Creek Dunes Preserve and related expenses</t>
  </si>
  <si>
    <t>James Hanna and Mary H. Murphy Land Fund</t>
  </si>
  <si>
    <t>Muskegon Community Health Project</t>
  </si>
  <si>
    <t>Ride with Pride Replication Project</t>
  </si>
  <si>
    <t>Replicate  the Ride with Pride Program within Muskegon Area Schools</t>
  </si>
  <si>
    <t>Youth Advisory Council Fund</t>
  </si>
  <si>
    <t>Muskegon Area Lions Club Vision and Hearing Services Program</t>
  </si>
  <si>
    <t>Provide vision and hearing services to eligible residents of Muskegon County.</t>
  </si>
  <si>
    <t>Muskegon County Lions Club Fund</t>
  </si>
  <si>
    <t>Muskegon Family YMCA</t>
  </si>
  <si>
    <t>Engaging Youth into a Lifestyle of Health</t>
  </si>
  <si>
    <t>To engage Muskegon County youth in activities and nutrition education to lead to an ongoing healthy lifestyle into adulthood.</t>
  </si>
  <si>
    <t>Healthy Youth/Healthy Seniors Fund, Douglas A. Rosen Fund</t>
  </si>
  <si>
    <t>United Way of the Lakeshore</t>
  </si>
  <si>
    <t xml:space="preserve">Reading Corps </t>
  </si>
  <si>
    <t>Provide funding for 4 Reading Corps tutors in Muskegon County. Tutors are in Pre-K and K-3 grade.</t>
  </si>
  <si>
    <t>West Michigan Symphony</t>
  </si>
  <si>
    <t>West Michigan Symphony beginner music programs</t>
  </si>
  <si>
    <t>To support the West Michigan Symphony Link Up and Music Mentor program</t>
  </si>
  <si>
    <t>Children's Choir visit to White Lake Library</t>
  </si>
  <si>
    <t>To support a children's choir visit to the White Lake Library on November 16, 2017</t>
  </si>
  <si>
    <t>White Lake Community Fund</t>
  </si>
  <si>
    <t>White Lake Area Chamber of Commerce</t>
  </si>
  <si>
    <t>White Lake Area Event Recycling Coordination</t>
  </si>
  <si>
    <t>Coordination, education, and institutionalization of event recycling in the White Lake area</t>
  </si>
  <si>
    <t>West Michigan Environmental Action Council</t>
  </si>
  <si>
    <t>Youth Water Reach</t>
  </si>
  <si>
    <t>The purpose of this grant is to expand Teach for the Watershed, an interactive watershed education program, to two distinct groups of at risk youth in Muskegon County, rural students in Holton &amp; urban students participating at the Boys &amp; Girls Club.</t>
  </si>
  <si>
    <t>Temple UMC/Pathfinders</t>
  </si>
  <si>
    <t xml:space="preserve">Pathfinders Lights on Afterschool (LoA) Program </t>
  </si>
  <si>
    <t>To cover the cost associated with Pathfinders Lights on Afterschool Program 2017-18 Academic year</t>
  </si>
  <si>
    <t>Grand Rapids Opportunities for Women (GROW)</t>
  </si>
  <si>
    <t>GROW's Expansion to Muskegon and the Lakeshore</t>
  </si>
  <si>
    <t xml:space="preserve">GROW wishes to have a larger presence in Muskegon. We would like to hire a full-time staffer who serves the Lakeshore and is based in Muskegon.  </t>
  </si>
  <si>
    <t>Sable Points Lighthouse Keepers Association</t>
  </si>
  <si>
    <t>Workshop at the White River Light Station</t>
  </si>
  <si>
    <t>To help fund new exhibits at the White River Light Station</t>
  </si>
  <si>
    <t>Muskegon County Museum, DBA - Lakeshore Museum Center</t>
  </si>
  <si>
    <t>Buster Keaton: Home</t>
  </si>
  <si>
    <t>To help fund a major film project about Buster Keaton and Muskegon</t>
  </si>
  <si>
    <t xml:space="preserve"> Nick Pool Performing Arts Fund, A.J. Flogge Performing Arts Fund</t>
  </si>
  <si>
    <t xml:space="preserve">The Secret of Bees Exhibit </t>
  </si>
  <si>
    <t>To support the Bee Exhibit and related programming.</t>
  </si>
  <si>
    <t>Step Up</t>
  </si>
  <si>
    <t>Step Up home for young men: house purchase and renovation</t>
  </si>
  <si>
    <t xml:space="preserve">The purpose of the grant is to assist in the purchase and necessary renovations to a house which will be home to up to four boys/young men ages 18-24.  </t>
  </si>
  <si>
    <t>Muskegon Oceana Community Action Partnership, Inc.</t>
  </si>
  <si>
    <t>Rent the Right Way</t>
  </si>
  <si>
    <t>Provide funds to start-up rental education and counseling for first time and former renters.</t>
  </si>
  <si>
    <t>Julia E. Hackley Memorial Fund</t>
  </si>
  <si>
    <t>Grand Valley State University - Annis Water Resources Institute</t>
  </si>
  <si>
    <t xml:space="preserve">Using Real-time Observatory Data to Track the Recovery of Muskegon Lake Area Of Concern and contribute to Science, Education and Outreach </t>
  </si>
  <si>
    <t>Provide support for continuation of operations for the Muskegon Lake Observatory which has acted as an important environmental monitor for Muskegon Lake</t>
  </si>
  <si>
    <t>Ambucs- Muskegon Chapter of National Ambucs</t>
  </si>
  <si>
    <t>Third Annual Bike Day</t>
  </si>
  <si>
    <t xml:space="preserve">Purchase therapeutic tricycles called Amtrykes for children with disabilities </t>
  </si>
  <si>
    <t>Montague United Methodist Church</t>
  </si>
  <si>
    <t>Montague United Methodist Church White Lake Area Afterschool Program</t>
  </si>
  <si>
    <t>To fund White Lake area afterschool programs</t>
  </si>
  <si>
    <t>Northern Economic Initiatives Corporation</t>
  </si>
  <si>
    <t>Setting the Stage for Small Business Lending in Muskegon County</t>
  </si>
  <si>
    <t>To establish an office and create awareness of NI's services in Muskegon County.</t>
  </si>
  <si>
    <t>Central United Methodist Church</t>
  </si>
  <si>
    <t>The Corner Bathroom &amp; Kitchenette</t>
  </si>
  <si>
    <t>Build a barrier free, unisex bathroom and kitchenette on the main level of an old downtown building repurposed with a vision to support the Muskegon community.</t>
  </si>
  <si>
    <t>Divine Providence Academy Saint Catherine Campus</t>
  </si>
  <si>
    <t>Infant and Toddler program</t>
  </si>
  <si>
    <t xml:space="preserve">To provide infant and toddler care and education to the most vulnerable citizens of our community. </t>
  </si>
  <si>
    <t>Greater Muskegon Service League's Women and Children's Fund</t>
  </si>
  <si>
    <t>Mercy Health Muskegon</t>
  </si>
  <si>
    <t>Mercy Health Muskegon Patient &amp; Family Resource Center</t>
  </si>
  <si>
    <t>Mercy Health Muskegon is seeking financial support for the Collection Materials for the Patient &amp; Family Resource Center (referred to as Center or PFRC in this application) to be located in the new Mercy Health medical center.</t>
  </si>
  <si>
    <t>The Geek Group National Science Center</t>
  </si>
  <si>
    <t>Computers For Families- Muskegon</t>
  </si>
  <si>
    <t>Provide technology access to low-income students in Muskegon county through free and reduced computer sales and giveaways</t>
  </si>
  <si>
    <t>Downtown Muskegon Now</t>
  </si>
  <si>
    <t>On The Ground Muskegon</t>
  </si>
  <si>
    <t xml:space="preserve">Embedded journalism program highlighting Muskegon's Imagine Muskegon Lake District </t>
  </si>
  <si>
    <t>American Red Cross Serving Muskegon, Oceana, and Newaygo Counties</t>
  </si>
  <si>
    <t>Senior Transportation Service</t>
  </si>
  <si>
    <t>This funding will support our Senior Tranportation Service, which provides door to door medical transportation for low</t>
  </si>
  <si>
    <t>Disaster Relief</t>
  </si>
  <si>
    <t>Thomas &amp; Geraldine Seyferth Advised Fund</t>
  </si>
  <si>
    <t>Arts Council of White Lake</t>
  </si>
  <si>
    <t>Artist in Residence</t>
  </si>
  <si>
    <t>Leonard and Edna K. Blomdahl Fund, advised by the White Lake Community Fund</t>
  </si>
  <si>
    <t>AgeWell Services of West Michigan</t>
  </si>
  <si>
    <t>The Driftwood Bistro at Berkshire</t>
  </si>
  <si>
    <t>To increase food access to aging adults living in the core city</t>
  </si>
  <si>
    <t>City of Muskegon</t>
  </si>
  <si>
    <t>Kitchen 242 Food Processing and Tasting Station</t>
  </si>
  <si>
    <t>For the start-up of food processing in the Kitchen and to support a second year of the Tasting Sation</t>
  </si>
  <si>
    <t>Bryan and Sandy Betten Fund</t>
  </si>
  <si>
    <t>Bryan and Sandy Betten Fund and the</t>
  </si>
  <si>
    <t>Community enCompass</t>
  </si>
  <si>
    <t>Muskegon Prescribes Food for Health (MPFH)</t>
  </si>
  <si>
    <t>To pay for produce and program incentives for program participants.</t>
  </si>
  <si>
    <t>Muskegon County Medical Society Endowment Fund</t>
  </si>
  <si>
    <t>Muskegon County Medical Society Endowment Fund, the Thomas &amp; Geraldine Seyferth Advised Fund, and the Bryan and Sandy Betten Fund</t>
  </si>
  <si>
    <t>Every Woman's Place, Inc</t>
  </si>
  <si>
    <t>Shelter Support</t>
  </si>
  <si>
    <t>John and Mary Schumann Fund</t>
  </si>
  <si>
    <t>Ferry Memorial Reformed Church</t>
  </si>
  <si>
    <t>Food and More</t>
  </si>
  <si>
    <t>Purchase food for Thanksgiving distribution to the needy.</t>
  </si>
  <si>
    <t>Love INC of Muskegon County</t>
  </si>
  <si>
    <t>Emergency Needs Assistance</t>
  </si>
  <si>
    <t>Assisting City of Muskegon residents with Emergency Needs</t>
  </si>
  <si>
    <t>Mission for Area People</t>
  </si>
  <si>
    <t>Nutrition Education for Chronic Health Issues</t>
  </si>
  <si>
    <t>Mount Zion Church of God in Christ</t>
  </si>
  <si>
    <t>Club 188 Academy of Arts and Academics</t>
  </si>
  <si>
    <t>To support Club 188 youth academic and enrichment summer program activities; to expose youth to cultural programs; and provide them with healthy lifestyle experiences.</t>
  </si>
  <si>
    <t>Youth Advisory Council Fund, the Next Generation Child Care &amp; Education Fund and the Clita R. Anderson Child Care Center Fund</t>
  </si>
  <si>
    <t>Muskegon Civic Theatre</t>
  </si>
  <si>
    <t>The Penguin Project of Muskegon Civic Theatre</t>
  </si>
  <si>
    <t>William Munroe Memorial Friends of the Disabled Fund</t>
  </si>
  <si>
    <t>Muskegon Community College</t>
  </si>
  <si>
    <t>Community-E</t>
  </si>
  <si>
    <t>Develop young entrepreneurial talent and empower men (and women) of color to further their education.</t>
  </si>
  <si>
    <t>Muskegon Conservation District</t>
  </si>
  <si>
    <t>Interpretive Trail Construction</t>
  </si>
  <si>
    <t>To assist in the funding of interpretive trail construction for public use</t>
  </si>
  <si>
    <t>Water Safety at the Muskegon YMCA Summer Recreation Program</t>
  </si>
  <si>
    <t>To provide Water Safety education to Muskegon youth during the Summer Recreation Program.</t>
  </si>
  <si>
    <t>Pioneer Resources, Inc.</t>
  </si>
  <si>
    <t>Pioneer Trails Accessible Pontoon</t>
  </si>
  <si>
    <t>purchase a new wheelchair accessible pontoon boat</t>
  </si>
  <si>
    <t xml:space="preserve">Muskegon County IDD Systems of Care Consortium </t>
  </si>
  <si>
    <t>To provide facilitation, marketing and communication efforts of this 10 community agency member Consortium  whose goal is to strive to improve the system of care for individuals with intellectual and/or developmental disabilities in the Muskegon area.</t>
  </si>
  <si>
    <t>Planned Parenthood of West and Northern Michigan</t>
  </si>
  <si>
    <t>Safer Choices</t>
  </si>
  <si>
    <t>Safer Choices will provide young people with complete, accurate, and age-appropriate sex education that helps them reduce their risk of sexually transmitted infections (STIs) including HIV/AIDS, and unintended pregnancy.</t>
  </si>
  <si>
    <t>Read Muskegon</t>
  </si>
  <si>
    <t>Multi-Generational Literacy Project</t>
  </si>
  <si>
    <t>In an effort to break generational cycles of illiteracy, we will develop and pilot a parent-child tutoring program at Edgewood Elementary School focused on working with low-literacy parents and their K- 3 children who are not reading proficiently.</t>
  </si>
  <si>
    <t>Workforce Stability &amp; Employer Resource Network</t>
  </si>
  <si>
    <t>Provide trainings on the workforce stability benefits associated with Employer Resource Networks (ERN); and, develop an emergency loan program for workers to access who are not at a company that has an ERN.</t>
  </si>
  <si>
    <t>Reeths-Puffer Education Inc.</t>
  </si>
  <si>
    <t>Camp Shout Out: Youth Who Stutter</t>
  </si>
  <si>
    <t>To provide scholarships for financially needy Muskegon County kids who stutter  to attend this therapuetic summer camp</t>
  </si>
  <si>
    <t xml:space="preserve">STEM, READING and SERVICE: A Foundation for Success </t>
  </si>
  <si>
    <t>To implement an ongoing program that builds on the need to continuously emphasize STEM activities, READING/JOURNALING and COMMUNITY SERVICE for the students we service.</t>
  </si>
  <si>
    <t>Fruitport Lions</t>
  </si>
  <si>
    <t>Senior Power of Produce at the Muskegon Farmers Market</t>
  </si>
  <si>
    <t>To help fund the Senior Power of Produce Program for 2018</t>
  </si>
  <si>
    <t>Whitehall District Schools</t>
  </si>
  <si>
    <t>White Lake Robotics: Lego League</t>
  </si>
  <si>
    <t>Pay for supplies for our Elementary level FIRST Lego League robotics teams</t>
  </si>
  <si>
    <t>Real Food Farm Experience</t>
  </si>
  <si>
    <t>Student Engagement around local agriculture</t>
  </si>
  <si>
    <t>Muskegon Environmental Research &amp; Education Society</t>
  </si>
  <si>
    <t xml:space="preserve">Supporting Teachers' Environmental Education Capacity </t>
  </si>
  <si>
    <t>Teacher Professional Development in Environmental Education</t>
  </si>
  <si>
    <t>Environmental Endowment Fund</t>
  </si>
  <si>
    <t>Muskegon Heights PSA</t>
  </si>
  <si>
    <t xml:space="preserve">Dr. Martin Luther King Jr Academy (MLK) Playground Project </t>
  </si>
  <si>
    <t>To help create a playground and community space for the Muskegon Heights community.</t>
  </si>
  <si>
    <t>Shoreline Symphony Community Orchestra</t>
  </si>
  <si>
    <t>Frauenthal Concerts for All</t>
  </si>
  <si>
    <t xml:space="preserve">Funding Marketing Strategy development to build more diverse audiennce </t>
  </si>
  <si>
    <t>Raymond C. and Evelyn P. Alstrom Memorial Fund</t>
  </si>
  <si>
    <t>President Ford FSC-MCC-Boy Scouts of America</t>
  </si>
  <si>
    <t>Muskegon County Scouting Program</t>
  </si>
  <si>
    <t>To support the Muskegon County Scouting program, with specific emphasis on outreach programming</t>
  </si>
  <si>
    <t>Lighthouse Activity Booklets</t>
  </si>
  <si>
    <t>To provide funding for a student activity booklet to be given out at SPLKA's four lighthouses.</t>
  </si>
  <si>
    <t>Muskegon Heights Housing Commission</t>
  </si>
  <si>
    <t>Summer STEM Program</t>
  </si>
  <si>
    <t>Improve the summer experience of Commission children and help them be prepared to return to school in the fall.</t>
  </si>
  <si>
    <t xml:space="preserve">Lake Michigan Junior Golf Association, Inc. </t>
  </si>
  <si>
    <t>Creation of a Muskegon Advisory Committee &amp; Golf &amp; Life Skills League</t>
  </si>
  <si>
    <t xml:space="preserve">To create a Golf &amp; Life Skills League for youth and form a Muskegon Advisory Committee to steer current and future programs and visibility in Muskegon. </t>
  </si>
  <si>
    <t>Youth Field of Interest Funds</t>
  </si>
  <si>
    <t>Montague Area Public School</t>
  </si>
  <si>
    <t>Real Food Student Leadership</t>
  </si>
  <si>
    <t>R. Covell Radcliffe Fund and the White Lake Community Fund</t>
  </si>
  <si>
    <t>Real Food Farm Experience Montague</t>
  </si>
  <si>
    <t>The Boys &amp; Girls Club of the Muskegon Lakeshore</t>
  </si>
  <si>
    <t>Aim High: Middle School Matters</t>
  </si>
  <si>
    <t>To intensify current programming for middle school students by identifying early warning signs, and strategically addressing each student to prepare them for academic success and a successful transition to high school</t>
  </si>
  <si>
    <t>Youth Advisory Council Fund and the Clita R. Anderson Child Care Center Fund</t>
  </si>
  <si>
    <t>Girls on the Run of Kent and Muskegon Counties</t>
  </si>
  <si>
    <t>On the Right Track  - Muskegon GOTR</t>
  </si>
  <si>
    <t>Greater Muskegon Service League's Women &amp; Children's Fund</t>
  </si>
  <si>
    <t>Muskegon Lakeshore Chamber of Commerce Foundation, Inc.</t>
  </si>
  <si>
    <t>Sherman Boulevard Green Space</t>
  </si>
  <si>
    <t>To help buy materials and supplies that will clean up the lot at Sherman Boulevard and Hoyt Street and enhance the Muskegon Heights Community.</t>
  </si>
  <si>
    <t>Samaritas</t>
  </si>
  <si>
    <t>Supporting Family Reunification</t>
  </si>
  <si>
    <t xml:space="preserve">Provide education and outreach to accelerate the reunification of foster children with birth parents and to ease the emotional impact on children and families transitioning out of the foster care system.  </t>
  </si>
  <si>
    <t>West Shore Mental Health Fund and the John and Christine Schumann Fund</t>
  </si>
  <si>
    <t>HealthWest</t>
  </si>
  <si>
    <t>Community Gathering Initiative</t>
  </si>
  <si>
    <t>Build more inclusive connected community, promoting racial healing through community gathering events.</t>
  </si>
  <si>
    <t>Muskegon County Environmental Coordinating Council</t>
  </si>
  <si>
    <t>Little Flower Creek Investigation</t>
  </si>
  <si>
    <t>Sample collection and analysis in the Little Flower Creek Watershed required to pursue Great Lakes Restoration Initiative (GLRI) funds.</t>
  </si>
  <si>
    <t>City of Ludington</t>
  </si>
  <si>
    <t>Smoke Detector Program-Ludington Fire Department</t>
  </si>
  <si>
    <t>To provide smoke detectors to homes with missing or broken detectors.</t>
  </si>
  <si>
    <t>Fund for Mason County</t>
  </si>
  <si>
    <t>COVE: Communities Overcoming Violent Encounters</t>
  </si>
  <si>
    <t>Sexual Assault Services</t>
  </si>
  <si>
    <t>Expanding Existing Sexual Assault Services and Additional Funding for Sexual Assault Nurse Examination Program</t>
  </si>
  <si>
    <t>Ludington Area Center for the Arts/Ludington Area Arts Council</t>
  </si>
  <si>
    <t>Film Upgrade Project</t>
  </si>
  <si>
    <t xml:space="preserve">To provide the community and regional area with the ability to view cultural, educational and recreational films at the Ludington Area Center for the Arts and to provide an underprivileged area more educational resources through film </t>
  </si>
  <si>
    <t>YMCA Camp Pendalouan</t>
  </si>
  <si>
    <t>Mason County Camperships</t>
  </si>
  <si>
    <t>Provide camp access to needy and deserving students in Mason County.</t>
  </si>
  <si>
    <t>Stanley Kleinstein Youth Recreation Fund</t>
  </si>
  <si>
    <t>Shoreline Cycling Club, Inc.</t>
  </si>
  <si>
    <t>Ludington School Forest parking lot improvement</t>
  </si>
  <si>
    <t>To expand and improve the existing parking area.</t>
  </si>
  <si>
    <t>Summit Township</t>
  </si>
  <si>
    <t>Kibby Park  Bridge Restoration</t>
  </si>
  <si>
    <t>To repair or replace the bridge at Kibby Creek Park</t>
  </si>
  <si>
    <t>Good Neighbor Endowment Fund</t>
  </si>
  <si>
    <t>Riverton Firefighters Association, INC.</t>
  </si>
  <si>
    <t>Fire Department storage building</t>
  </si>
  <si>
    <t xml:space="preserve">We don't have enough funds to complete construction within our schedule and are looking for help from grants.  </t>
  </si>
  <si>
    <t>Mason County Scouting Progams</t>
  </si>
  <si>
    <t>To support Scouting in Mason County through the Exploring Program and new Scouting units.</t>
  </si>
  <si>
    <t>Spectrum Health Ludington Hospital Foundation</t>
  </si>
  <si>
    <t>Reach Out and Read Pediatric Literacy Program</t>
  </si>
  <si>
    <t xml:space="preserve">Pediatric medical-based literacy program funding </t>
  </si>
  <si>
    <t>Fund for Mason County and the Mason Youth Advisory Council</t>
  </si>
  <si>
    <t>Big Sable's Summer at the Lights programing</t>
  </si>
  <si>
    <t>To provide funding for bus days and bus day events at the Big Sable Lighthouse</t>
  </si>
  <si>
    <t>West Shore Pregnancy Care Center</t>
  </si>
  <si>
    <t>WORTH Program</t>
  </si>
  <si>
    <t>To secure additional funding for the continuation of the WORTH Program.</t>
  </si>
  <si>
    <t>Mason County Historical Society Inc.</t>
  </si>
  <si>
    <t>Mason &amp; Oceana Railroad</t>
  </si>
  <si>
    <t>Education</t>
  </si>
  <si>
    <t>Gerald and Dorothy Heslipen Fund</t>
  </si>
  <si>
    <t>Habitat for Humanity of Mason County</t>
  </si>
  <si>
    <t>Neighborhood Revitalization Program</t>
  </si>
  <si>
    <t>To provide additional funding for critical home repairs to qualifying homeowners in qualifying neighborhoods</t>
  </si>
  <si>
    <t>West Michigan Fair Association</t>
  </si>
  <si>
    <t>Ongoing project to Renovate and Restore the Town Hall</t>
  </si>
  <si>
    <t>To move to another phase of restoring the Town Hall in an ongoing project</t>
  </si>
  <si>
    <t xml:space="preserve">Friends of Ludington State Park </t>
  </si>
  <si>
    <t>Friends of Ludington State Park playground project</t>
  </si>
  <si>
    <t>FLSP will build a family-friendly, highly accessible playground at the Hamlin Lake picnic area in June 2018. The site is used extensively by campers and local residents alike. It will consist of two playscapes -- one for ages 2-5 and another for ages 5-12</t>
  </si>
  <si>
    <t>Ludington Area School District</t>
  </si>
  <si>
    <t>Orange and Black Packs</t>
  </si>
  <si>
    <t xml:space="preserve">To close the food insecurity gap for secondary students in the Ludington Area School District.  </t>
  </si>
  <si>
    <t>Hands Extended Loving People Resource Center</t>
  </si>
  <si>
    <t>Beds and furniture for Children and Families</t>
  </si>
  <si>
    <t>To provide adequate bedding and bedroom furniture for children</t>
  </si>
  <si>
    <t>RIVERTON TOWNSHIP</t>
  </si>
  <si>
    <t>Riverton twp. Summer baseball program</t>
  </si>
  <si>
    <t>To repair/improve equipment and facilities for summer baseball program</t>
  </si>
  <si>
    <t>Arts In Motion Studio West Michigan</t>
  </si>
  <si>
    <t>Provide adaptive arts programming for individuals with disabilities in Mason County.</t>
  </si>
  <si>
    <t>Bryan &amp; Sandy Betten Fund</t>
  </si>
  <si>
    <t>Greater Muskegon County Fund</t>
  </si>
  <si>
    <t>Healthy Youth/Healthy Seniors Fund and the Greater Muskegon County Fund</t>
  </si>
  <si>
    <t>Bryan and Sandy Betten Fund and the Greater Muskegon County Fund</t>
  </si>
  <si>
    <t>Rhoda R. Rosen Fund and the Greater Muskegon County Fund</t>
  </si>
  <si>
    <t>Douglas A. Rosen Fund and the Greater Muskegon County Fund</t>
  </si>
  <si>
    <t>Daisy Marsh Reek Fund and the Fund for Mason County</t>
  </si>
  <si>
    <t xml:space="preserve">Fund for Mason County  </t>
  </si>
  <si>
    <t>Frank and Delores Valenta Fund, Rick and MaryAnn Randall Fund, Healthy Youth/Healthy Seniors Fund, and the Fund for Mason County</t>
  </si>
  <si>
    <t>Adaptive Arts Programming</t>
  </si>
  <si>
    <t>Funding Source</t>
  </si>
  <si>
    <t>Grant Amount</t>
  </si>
  <si>
    <t>Organization</t>
  </si>
  <si>
    <t>Project Name</t>
  </si>
  <si>
    <t xml:space="preserve">To ensure that all community members impacted by disasters receive the support they need to swiftly recover. Additionally, we will continue to provide preparedness education in communities at greater risk of homes fires. </t>
  </si>
  <si>
    <t>To enrich the lives and artistic vision of the White Lake community through a multi-disciplinary approach.</t>
  </si>
  <si>
    <t>To continue and enhance programs for those in poverty with chronic health diseases including the successful nutrition education classes.</t>
  </si>
  <si>
    <t>To support the Penguin Project Program</t>
  </si>
  <si>
    <t>To provide participants with quality running shoes, shirts and finisher medals.</t>
  </si>
  <si>
    <t>Community Foundation for Muskegon County - Spring 2018 Grant Awards</t>
  </si>
  <si>
    <t>Total Spring 2018 Grant Awards</t>
  </si>
  <si>
    <t>Community Foundation for Muskegon County - Fall 2017 Grant Awards</t>
  </si>
  <si>
    <t>Total Grant Awards - Fall 2017</t>
  </si>
  <si>
    <t>Clita R. Anderson Child Care Center Fund, Next Generation Child Care &amp; Education Fund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</si>
</sst>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
  </numFmts>
  <fonts count="6" x14ac:knownFonts="1">
    <font>
      <sz val="11"/>
      <color theme="1"/>
      <name val="Calibri"/>
      <family val="2"/>
      <scheme val="minor"/>
    </font>
    <font>
      <sz val="11"/>
      <color indexed="8"/>
      <name val="Calibri"/>
      <family val="2"/>
    </font>
    <font>
      <sz val="10"/>
      <color indexed="8"/>
      <name val="Arial"/>
      <family val="2"/>
    </font>
    <font>
      <sz val="11"/>
      <color indexed="8"/>
      <name val="Calibri"/>
      <family val="2"/>
    </font>
    <font>
      <b/>
      <sz val="14"/>
      <color theme="1"/>
      <name val="Calibri"/>
      <family val="2"/>
      <scheme val="minor"/>
    </font>
    <font>
      <b/>
      <sz val="14"/>
      <color indexed="8"/>
      <name val="Calibri"/>
      <family val="2"/>
    </font>
  </fonts>
  <fills count="3">
    <fill>
      <patternFill patternType="none"/>
    </fill>
    <fill>
      <patternFill patternType="gray125"/>
    </fill>
    <fill>
      <patternFill patternType="solid">
        <fgColor indexed="22"/>
        <bgColor indexed="0"/>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4">
    <xf numFmtId="0" fontId="0" fillId="0" borderId="0"/>
    <xf numFmtId="0" fontId="2" fillId="0" borderId="0"/>
    <xf numFmtId="0" fontId="2" fillId="0" borderId="0"/>
    <xf numFmtId="0" fontId="2" fillId="0" borderId="0"/>
  </cellStyleXfs>
  <cellXfs count="25">
    <xf numFmtId="0" fontId="0" fillId="0" borderId="0" xfId="0"/>
    <xf numFmtId="0" fontId="1" fillId="2" borderId="1" xfId="3" applyFont="1" applyFill="1" applyBorder="1" applyAlignment="1">
      <alignment horizontal="center"/>
    </xf>
    <xf numFmtId="0" fontId="1" fillId="0" borderId="2" xfId="3" applyFont="1" applyFill="1" applyBorder="1" applyAlignment="1">
      <alignment wrapText="1"/>
    </xf>
    <xf numFmtId="164" fontId="0" fillId="0" borderId="0" xfId="0" applyNumberFormat="1"/>
    <xf numFmtId="164" fontId="1" fillId="2" borderId="1" xfId="3" applyNumberFormat="1" applyFont="1" applyFill="1" applyBorder="1" applyAlignment="1">
      <alignment horizontal="center"/>
    </xf>
    <xf numFmtId="164" fontId="1" fillId="0" borderId="2" xfId="3" applyNumberFormat="1" applyFont="1" applyFill="1" applyBorder="1" applyAlignment="1">
      <alignment horizontal="right" wrapText="1"/>
    </xf>
    <xf numFmtId="0" fontId="3" fillId="0" borderId="2" xfId="3" applyFont="1" applyFill="1" applyBorder="1" applyAlignment="1">
      <alignment wrapText="1"/>
    </xf>
    <xf numFmtId="0" fontId="3" fillId="2" borderId="1" xfId="3" applyFont="1" applyFill="1" applyBorder="1" applyAlignment="1">
      <alignment horizontal="center"/>
    </xf>
    <xf numFmtId="164" fontId="0" fillId="0" borderId="0" xfId="0" applyNumberFormat="1" applyAlignment="1">
      <alignment horizontal="center"/>
    </xf>
    <xf numFmtId="0" fontId="3" fillId="2" borderId="4" xfId="3" applyFont="1" applyFill="1" applyBorder="1" applyAlignment="1">
      <alignment horizontal="center"/>
    </xf>
    <xf numFmtId="0" fontId="1" fillId="2" borderId="4" xfId="2" applyFont="1" applyFill="1" applyBorder="1" applyAlignment="1">
      <alignment horizontal="center"/>
    </xf>
    <xf numFmtId="164" fontId="1" fillId="2" borderId="4" xfId="2" applyNumberFormat="1" applyFont="1" applyFill="1" applyBorder="1" applyAlignment="1">
      <alignment horizontal="center"/>
    </xf>
    <xf numFmtId="0" fontId="1" fillId="0" borderId="3" xfId="2" applyFont="1" applyFill="1" applyBorder="1" applyAlignment="1">
      <alignment vertical="center" wrapText="1"/>
    </xf>
    <xf numFmtId="164" fontId="1" fillId="0" borderId="3" xfId="2" applyNumberFormat="1" applyFont="1" applyFill="1" applyBorder="1" applyAlignment="1">
      <alignment horizontal="center" vertical="center" wrapText="1"/>
    </xf>
    <xf numFmtId="0" fontId="3" fillId="0" borderId="3" xfId="2" applyFont="1" applyFill="1" applyBorder="1" applyAlignment="1">
      <alignment vertical="center" wrapText="1"/>
    </xf>
    <xf numFmtId="0" fontId="5" fillId="0" borderId="0" xfId="2" applyFont="1" applyFill="1" applyBorder="1" applyAlignment="1">
      <alignment vertical="center" wrapText="1"/>
    </xf>
    <xf numFmtId="164" fontId="4" fillId="0" borderId="0" xfId="0" applyNumberFormat="1" applyFont="1" applyAlignment="1">
      <alignment horizontal="center"/>
    </xf>
    <xf numFmtId="0" fontId="4" fillId="0" borderId="0" xfId="0" applyFont="1" applyAlignment="1">
      <alignment horizontal="center"/>
    </xf>
    <xf numFmtId="0" fontId="1" fillId="2" borderId="4" xfId="1" applyFont="1" applyFill="1" applyBorder="1" applyAlignment="1">
      <alignment horizontal="center"/>
    </xf>
    <xf numFmtId="164" fontId="3" fillId="2" borderId="4" xfId="1" applyNumberFormat="1" applyFont="1" applyFill="1" applyBorder="1" applyAlignment="1">
      <alignment horizontal="center"/>
    </xf>
    <xf numFmtId="0" fontId="1" fillId="0" borderId="3" xfId="1" applyFont="1" applyFill="1" applyBorder="1" applyAlignment="1">
      <alignment vertical="center" wrapText="1"/>
    </xf>
    <xf numFmtId="164" fontId="1" fillId="0" borderId="3" xfId="1" applyNumberFormat="1" applyFont="1" applyFill="1" applyBorder="1" applyAlignment="1">
      <alignment horizontal="center" vertical="center" wrapText="1"/>
    </xf>
    <xf numFmtId="0" fontId="3" fillId="0" borderId="3" xfId="1" applyFont="1" applyFill="1" applyBorder="1" applyAlignment="1">
      <alignment vertical="center" wrapText="1"/>
    </xf>
    <xf numFmtId="164" fontId="2" fillId="0" borderId="3" xfId="1" applyNumberFormat="1" applyBorder="1" applyAlignment="1">
      <alignment horizontal="center" vertical="center"/>
    </xf>
    <xf numFmtId="0" fontId="5" fillId="0" borderId="0" xfId="1" applyFont="1" applyFill="1" applyBorder="1" applyAlignment="1">
      <alignment vertical="center" wrapText="1"/>
    </xf>
  </cellXfs>
  <cellStyles count="4">
    <cellStyle name="Normal" xfId="0" builtinId="0"/>
    <cellStyle name="Normal_Sheet1" xfId="1"/>
    <cellStyle name="Normal_Sheet2" xfId="2"/>
    <cellStyle name="Normal_Sheet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E32"/>
  <sheetViews>
    <sheetView tabSelected="1" workbookViewId="0">
      <selection activeCell="D14" sqref="D14"/>
    </sheetView>
  </sheetViews>
  <sheetFormatPr defaultRowHeight="15" x14ac:dyDescent="0.25"/>
  <cols>
    <col min="1" max="1" width="36.7109375" customWidth="1"/>
    <col min="2" max="2" width="30.85546875" customWidth="1"/>
    <col min="3" max="3" width="40.140625" customWidth="1"/>
    <col min="4" max="4" width="23.42578125" style="3" customWidth="1"/>
    <col min="5" max="5" width="30.7109375" customWidth="1"/>
    <col min="6" max="11" width="21.7109375" customWidth="1"/>
  </cols>
  <sheetData>
    <row r="2" spans="1:5" ht="18.75" x14ac:dyDescent="0.3">
      <c r="A2" s="17" t="s">
        <v>284</v>
      </c>
      <c r="B2" s="17"/>
      <c r="C2" s="17"/>
      <c r="D2" s="17"/>
      <c r="E2" s="17"/>
    </row>
    <row r="4" spans="1:5" x14ac:dyDescent="0.25">
      <c r="A4" s="9" t="s">
        <v>275</v>
      </c>
      <c r="B4" s="9" t="s">
        <v>276</v>
      </c>
      <c r="C4" s="18" t="s">
        <v>0</v>
      </c>
      <c r="D4" s="19" t="s">
        <v>274</v>
      </c>
      <c r="E4" s="9" t="s">
        <v>273</v>
      </c>
    </row>
    <row r="5" spans="1:5" ht="30" x14ac:dyDescent="0.25">
      <c r="A5" s="20" t="s">
        <v>1</v>
      </c>
      <c r="B5" s="20" t="s">
        <v>2</v>
      </c>
      <c r="C5" s="20" t="s">
        <v>3</v>
      </c>
      <c r="D5" s="21">
        <v>10000</v>
      </c>
      <c r="E5" s="22" t="s">
        <v>264</v>
      </c>
    </row>
    <row r="6" spans="1:5" ht="45" x14ac:dyDescent="0.25">
      <c r="A6" s="20" t="s">
        <v>4</v>
      </c>
      <c r="B6" s="20" t="s">
        <v>5</v>
      </c>
      <c r="C6" s="20" t="s">
        <v>6</v>
      </c>
      <c r="D6" s="21">
        <v>25000</v>
      </c>
      <c r="E6" s="22" t="s">
        <v>7</v>
      </c>
    </row>
    <row r="7" spans="1:5" ht="30" x14ac:dyDescent="0.25">
      <c r="A7" s="20" t="s">
        <v>8</v>
      </c>
      <c r="B7" s="20" t="s">
        <v>9</v>
      </c>
      <c r="C7" s="20" t="s">
        <v>10</v>
      </c>
      <c r="D7" s="21">
        <v>4000</v>
      </c>
      <c r="E7" s="20" t="s">
        <v>11</v>
      </c>
    </row>
    <row r="8" spans="1:5" ht="30" x14ac:dyDescent="0.25">
      <c r="A8" s="20" t="s">
        <v>8</v>
      </c>
      <c r="B8" s="20" t="s">
        <v>12</v>
      </c>
      <c r="C8" s="20" t="s">
        <v>13</v>
      </c>
      <c r="D8" s="21">
        <v>38104</v>
      </c>
      <c r="E8" s="20" t="s">
        <v>14</v>
      </c>
    </row>
    <row r="9" spans="1:5" ht="60" x14ac:dyDescent="0.25">
      <c r="A9" s="20" t="s">
        <v>15</v>
      </c>
      <c r="B9" s="20" t="s">
        <v>16</v>
      </c>
      <c r="C9" s="20" t="s">
        <v>17</v>
      </c>
      <c r="D9" s="21">
        <v>8000</v>
      </c>
      <c r="E9" s="20" t="s">
        <v>18</v>
      </c>
    </row>
    <row r="10" spans="1:5" ht="45" x14ac:dyDescent="0.25">
      <c r="A10" s="20" t="s">
        <v>19</v>
      </c>
      <c r="B10" s="20" t="s">
        <v>20</v>
      </c>
      <c r="C10" s="20" t="s">
        <v>21</v>
      </c>
      <c r="D10" s="21">
        <v>20000</v>
      </c>
      <c r="E10" s="22" t="s">
        <v>264</v>
      </c>
    </row>
    <row r="11" spans="1:5" ht="30" x14ac:dyDescent="0.25">
      <c r="A11" s="20" t="s">
        <v>22</v>
      </c>
      <c r="B11" s="20" t="s">
        <v>23</v>
      </c>
      <c r="C11" s="20" t="s">
        <v>24</v>
      </c>
      <c r="D11" s="21">
        <v>8000</v>
      </c>
      <c r="E11" s="20" t="s">
        <v>11</v>
      </c>
    </row>
    <row r="12" spans="1:5" ht="30" x14ac:dyDescent="0.25">
      <c r="A12" s="20" t="s">
        <v>22</v>
      </c>
      <c r="B12" s="20" t="s">
        <v>25</v>
      </c>
      <c r="C12" s="20" t="s">
        <v>26</v>
      </c>
      <c r="D12" s="21">
        <v>750</v>
      </c>
      <c r="E12" s="20" t="s">
        <v>27</v>
      </c>
    </row>
    <row r="13" spans="1:5" ht="45" x14ac:dyDescent="0.25">
      <c r="A13" s="20" t="s">
        <v>28</v>
      </c>
      <c r="B13" s="20" t="s">
        <v>29</v>
      </c>
      <c r="C13" s="20" t="s">
        <v>30</v>
      </c>
      <c r="D13" s="21">
        <v>3000</v>
      </c>
      <c r="E13" s="20" t="s">
        <v>27</v>
      </c>
    </row>
    <row r="14" spans="1:5" ht="105" x14ac:dyDescent="0.25">
      <c r="A14" s="20" t="s">
        <v>31</v>
      </c>
      <c r="B14" s="20" t="s">
        <v>32</v>
      </c>
      <c r="C14" s="20" t="s">
        <v>33</v>
      </c>
      <c r="D14" s="21">
        <v>5000</v>
      </c>
      <c r="E14" s="22" t="s">
        <v>264</v>
      </c>
    </row>
    <row r="15" spans="1:5" ht="45" x14ac:dyDescent="0.25">
      <c r="A15" s="20" t="s">
        <v>34</v>
      </c>
      <c r="B15" s="20" t="s">
        <v>35</v>
      </c>
      <c r="C15" s="20" t="s">
        <v>36</v>
      </c>
      <c r="D15" s="23">
        <v>2370</v>
      </c>
      <c r="E15" s="20" t="s">
        <v>286</v>
      </c>
    </row>
    <row r="16" spans="1:5" ht="60" x14ac:dyDescent="0.25">
      <c r="A16" s="20" t="s">
        <v>37</v>
      </c>
      <c r="B16" s="20" t="s">
        <v>38</v>
      </c>
      <c r="C16" s="20" t="s">
        <v>39</v>
      </c>
      <c r="D16" s="21">
        <v>30000</v>
      </c>
      <c r="E16" s="22" t="s">
        <v>264</v>
      </c>
    </row>
    <row r="17" spans="1:5" ht="30" x14ac:dyDescent="0.25">
      <c r="A17" s="20" t="s">
        <v>40</v>
      </c>
      <c r="B17" s="20" t="s">
        <v>41</v>
      </c>
      <c r="C17" s="20" t="s">
        <v>42</v>
      </c>
      <c r="D17" s="21">
        <v>4000</v>
      </c>
      <c r="E17" s="20" t="s">
        <v>27</v>
      </c>
    </row>
    <row r="18" spans="1:5" ht="30" x14ac:dyDescent="0.25">
      <c r="A18" s="20" t="s">
        <v>43</v>
      </c>
      <c r="B18" s="20" t="s">
        <v>44</v>
      </c>
      <c r="C18" s="20" t="s">
        <v>45</v>
      </c>
      <c r="D18" s="21">
        <v>5000</v>
      </c>
      <c r="E18" s="20" t="s">
        <v>46</v>
      </c>
    </row>
    <row r="19" spans="1:5" ht="30" x14ac:dyDescent="0.25">
      <c r="A19" s="20" t="s">
        <v>43</v>
      </c>
      <c r="B19" s="20" t="s">
        <v>47</v>
      </c>
      <c r="C19" s="20" t="s">
        <v>48</v>
      </c>
      <c r="D19" s="21">
        <v>5000</v>
      </c>
      <c r="E19" s="22" t="s">
        <v>264</v>
      </c>
    </row>
    <row r="20" spans="1:5" ht="60" x14ac:dyDescent="0.25">
      <c r="A20" s="20" t="s">
        <v>49</v>
      </c>
      <c r="B20" s="20" t="s">
        <v>50</v>
      </c>
      <c r="C20" s="20" t="s">
        <v>51</v>
      </c>
      <c r="D20" s="23">
        <v>10000</v>
      </c>
      <c r="E20" s="22" t="s">
        <v>263</v>
      </c>
    </row>
    <row r="21" spans="1:5" ht="45" x14ac:dyDescent="0.25">
      <c r="A21" s="20" t="s">
        <v>52</v>
      </c>
      <c r="B21" s="20" t="s">
        <v>53</v>
      </c>
      <c r="C21" s="20" t="s">
        <v>54</v>
      </c>
      <c r="D21" s="21">
        <v>3880</v>
      </c>
      <c r="E21" s="20" t="s">
        <v>55</v>
      </c>
    </row>
    <row r="22" spans="1:5" ht="75" x14ac:dyDescent="0.25">
      <c r="A22" s="20" t="s">
        <v>56</v>
      </c>
      <c r="B22" s="20" t="s">
        <v>57</v>
      </c>
      <c r="C22" s="20" t="s">
        <v>58</v>
      </c>
      <c r="D22" s="21">
        <v>15000</v>
      </c>
      <c r="E22" s="22" t="s">
        <v>264</v>
      </c>
    </row>
    <row r="23" spans="1:5" ht="30" x14ac:dyDescent="0.25">
      <c r="A23" s="20" t="s">
        <v>59</v>
      </c>
      <c r="B23" s="20" t="s">
        <v>60</v>
      </c>
      <c r="C23" s="20" t="s">
        <v>61</v>
      </c>
      <c r="D23" s="23">
        <v>3000</v>
      </c>
      <c r="E23" s="22" t="s">
        <v>122</v>
      </c>
    </row>
    <row r="24" spans="1:5" ht="45" x14ac:dyDescent="0.25">
      <c r="A24" s="20" t="s">
        <v>62</v>
      </c>
      <c r="B24" s="20" t="s">
        <v>63</v>
      </c>
      <c r="C24" s="20" t="s">
        <v>64</v>
      </c>
      <c r="D24" s="21">
        <v>7000</v>
      </c>
      <c r="E24" s="20" t="s">
        <v>27</v>
      </c>
    </row>
    <row r="25" spans="1:5" ht="45" x14ac:dyDescent="0.25">
      <c r="A25" s="20" t="s">
        <v>65</v>
      </c>
      <c r="B25" s="22" t="s">
        <v>66</v>
      </c>
      <c r="C25" s="20" t="s">
        <v>67</v>
      </c>
      <c r="D25" s="21">
        <v>25000</v>
      </c>
      <c r="E25" s="22" t="s">
        <v>264</v>
      </c>
    </row>
    <row r="26" spans="1:5" ht="75" x14ac:dyDescent="0.25">
      <c r="A26" s="20" t="s">
        <v>68</v>
      </c>
      <c r="B26" s="20" t="s">
        <v>69</v>
      </c>
      <c r="C26" s="20" t="s">
        <v>70</v>
      </c>
      <c r="D26" s="21">
        <v>10000</v>
      </c>
      <c r="E26" s="22" t="s">
        <v>264</v>
      </c>
    </row>
    <row r="27" spans="1:5" ht="45" x14ac:dyDescent="0.25">
      <c r="A27" s="20" t="s">
        <v>71</v>
      </c>
      <c r="B27" s="20" t="s">
        <v>72</v>
      </c>
      <c r="C27" s="20" t="s">
        <v>73</v>
      </c>
      <c r="D27" s="21">
        <v>8000</v>
      </c>
      <c r="E27" s="20" t="s">
        <v>74</v>
      </c>
    </row>
    <row r="28" spans="1:5" ht="90" x14ac:dyDescent="0.25">
      <c r="A28" s="20" t="s">
        <v>75</v>
      </c>
      <c r="B28" s="20" t="s">
        <v>76</v>
      </c>
      <c r="C28" s="20" t="s">
        <v>77</v>
      </c>
      <c r="D28" s="21">
        <v>30000</v>
      </c>
      <c r="E28" s="22" t="s">
        <v>264</v>
      </c>
    </row>
    <row r="29" spans="1:5" ht="45" x14ac:dyDescent="0.25">
      <c r="A29" s="20" t="s">
        <v>78</v>
      </c>
      <c r="B29" s="20" t="s">
        <v>79</v>
      </c>
      <c r="C29" s="20" t="s">
        <v>80</v>
      </c>
      <c r="D29" s="21">
        <v>8000</v>
      </c>
      <c r="E29" s="20" t="s">
        <v>11</v>
      </c>
    </row>
    <row r="30" spans="1:5" ht="45" x14ac:dyDescent="0.25">
      <c r="A30" s="20" t="s">
        <v>81</v>
      </c>
      <c r="B30" s="20" t="s">
        <v>82</v>
      </c>
      <c r="C30" s="20" t="s">
        <v>83</v>
      </c>
      <c r="D30" s="21">
        <v>2500</v>
      </c>
      <c r="E30" s="22" t="s">
        <v>264</v>
      </c>
    </row>
    <row r="32" spans="1:5" ht="18.75" x14ac:dyDescent="0.3">
      <c r="C32" s="24" t="s">
        <v>285</v>
      </c>
      <c r="D32" s="16">
        <f>SUM(D5:D31)</f>
        <v>290604</v>
      </c>
    </row>
  </sheetData>
  <mergeCells count="1">
    <mergeCell ref="A2:E2"/>
  </mergeCells>
  <pageMargins left="0.7" right="0.7" top="0.75" bottom="0.75" header="0.3" footer="0.3"/>
  <pageSetup scale="7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E46"/>
  <sheetViews>
    <sheetView workbookViewId="0">
      <selection activeCell="C47" sqref="C47"/>
    </sheetView>
  </sheetViews>
  <sheetFormatPr defaultRowHeight="15" x14ac:dyDescent="0.25"/>
  <cols>
    <col min="1" max="1" width="32.85546875" customWidth="1"/>
    <col min="2" max="2" width="31.28515625" customWidth="1"/>
    <col min="3" max="3" width="52.28515625" customWidth="1"/>
    <col min="4" max="4" width="15.42578125" style="8" customWidth="1"/>
    <col min="5" max="5" width="32.140625" customWidth="1"/>
    <col min="6" max="11" width="18.28515625" customWidth="1"/>
  </cols>
  <sheetData>
    <row r="2" spans="1:5" ht="18.75" x14ac:dyDescent="0.3">
      <c r="A2" s="17" t="s">
        <v>282</v>
      </c>
      <c r="B2" s="17"/>
      <c r="C2" s="17"/>
      <c r="D2" s="17"/>
      <c r="E2" s="17"/>
    </row>
    <row r="4" spans="1:5" x14ac:dyDescent="0.25">
      <c r="A4" s="9" t="s">
        <v>275</v>
      </c>
      <c r="B4" s="9" t="s">
        <v>276</v>
      </c>
      <c r="C4" s="10" t="s">
        <v>0</v>
      </c>
      <c r="D4" s="11" t="s">
        <v>274</v>
      </c>
      <c r="E4" s="9" t="s">
        <v>273</v>
      </c>
    </row>
    <row r="5" spans="1:5" ht="45" x14ac:dyDescent="0.25">
      <c r="A5" s="12" t="s">
        <v>84</v>
      </c>
      <c r="B5" s="12" t="s">
        <v>85</v>
      </c>
      <c r="C5" s="12" t="s">
        <v>86</v>
      </c>
      <c r="D5" s="13">
        <v>7000</v>
      </c>
      <c r="E5" s="12" t="s">
        <v>55</v>
      </c>
    </row>
    <row r="6" spans="1:5" ht="75" x14ac:dyDescent="0.25">
      <c r="A6" s="12" t="s">
        <v>84</v>
      </c>
      <c r="B6" s="12" t="s">
        <v>87</v>
      </c>
      <c r="C6" s="14" t="s">
        <v>277</v>
      </c>
      <c r="D6" s="13">
        <v>7000</v>
      </c>
      <c r="E6" s="12" t="s">
        <v>88</v>
      </c>
    </row>
    <row r="7" spans="1:5" ht="45" x14ac:dyDescent="0.25">
      <c r="A7" s="12" t="s">
        <v>89</v>
      </c>
      <c r="B7" s="12" t="s">
        <v>90</v>
      </c>
      <c r="C7" s="14" t="s">
        <v>278</v>
      </c>
      <c r="D7" s="13">
        <v>3500</v>
      </c>
      <c r="E7" s="12" t="s">
        <v>91</v>
      </c>
    </row>
    <row r="8" spans="1:5" ht="45" x14ac:dyDescent="0.25">
      <c r="A8" s="12" t="s">
        <v>92</v>
      </c>
      <c r="B8" s="12" t="s">
        <v>93</v>
      </c>
      <c r="C8" s="12" t="s">
        <v>94</v>
      </c>
      <c r="D8" s="13">
        <v>30000</v>
      </c>
      <c r="E8" s="14" t="s">
        <v>265</v>
      </c>
    </row>
    <row r="9" spans="1:5" ht="45" x14ac:dyDescent="0.25">
      <c r="A9" s="12" t="s">
        <v>95</v>
      </c>
      <c r="B9" s="12" t="s">
        <v>96</v>
      </c>
      <c r="C9" s="12" t="s">
        <v>97</v>
      </c>
      <c r="D9" s="13">
        <v>6500</v>
      </c>
      <c r="E9" s="14" t="s">
        <v>266</v>
      </c>
    </row>
    <row r="10" spans="1:5" ht="75" x14ac:dyDescent="0.25">
      <c r="A10" s="12" t="s">
        <v>100</v>
      </c>
      <c r="B10" s="12" t="s">
        <v>101</v>
      </c>
      <c r="C10" s="12" t="s">
        <v>102</v>
      </c>
      <c r="D10" s="13">
        <v>5000</v>
      </c>
      <c r="E10" s="12" t="s">
        <v>104</v>
      </c>
    </row>
    <row r="11" spans="1:5" x14ac:dyDescent="0.25">
      <c r="A11" s="12" t="s">
        <v>105</v>
      </c>
      <c r="B11" s="12" t="s">
        <v>106</v>
      </c>
      <c r="C11" s="12" t="s">
        <v>106</v>
      </c>
      <c r="D11" s="13">
        <v>15000</v>
      </c>
      <c r="E11" s="12" t="s">
        <v>107</v>
      </c>
    </row>
    <row r="12" spans="1:5" ht="30" x14ac:dyDescent="0.25">
      <c r="A12" s="12" t="s">
        <v>108</v>
      </c>
      <c r="B12" s="12" t="s">
        <v>109</v>
      </c>
      <c r="C12" s="12" t="s">
        <v>110</v>
      </c>
      <c r="D12" s="13">
        <v>2000</v>
      </c>
      <c r="E12" s="12" t="s">
        <v>27</v>
      </c>
    </row>
    <row r="13" spans="1:5" ht="30" x14ac:dyDescent="0.25">
      <c r="A13" s="12" t="s">
        <v>111</v>
      </c>
      <c r="B13" s="12" t="s">
        <v>112</v>
      </c>
      <c r="C13" s="12" t="s">
        <v>113</v>
      </c>
      <c r="D13" s="13">
        <v>8000</v>
      </c>
      <c r="E13" s="12" t="s">
        <v>55</v>
      </c>
    </row>
    <row r="14" spans="1:5" ht="45" x14ac:dyDescent="0.25">
      <c r="A14" s="12" t="s">
        <v>114</v>
      </c>
      <c r="B14" s="12" t="s">
        <v>115</v>
      </c>
      <c r="C14" s="14" t="s">
        <v>279</v>
      </c>
      <c r="D14" s="13">
        <v>1000</v>
      </c>
      <c r="E14" s="12" t="s">
        <v>98</v>
      </c>
    </row>
    <row r="15" spans="1:5" ht="60" x14ac:dyDescent="0.25">
      <c r="A15" s="12" t="s">
        <v>116</v>
      </c>
      <c r="B15" s="12" t="s">
        <v>117</v>
      </c>
      <c r="C15" s="12" t="s">
        <v>118</v>
      </c>
      <c r="D15" s="13">
        <v>8000</v>
      </c>
      <c r="E15" s="12" t="s">
        <v>119</v>
      </c>
    </row>
    <row r="16" spans="1:5" ht="30" x14ac:dyDescent="0.25">
      <c r="A16" s="12" t="s">
        <v>120</v>
      </c>
      <c r="B16" s="12" t="s">
        <v>121</v>
      </c>
      <c r="C16" s="14" t="s">
        <v>280</v>
      </c>
      <c r="D16" s="13">
        <v>3500</v>
      </c>
      <c r="E16" s="12" t="s">
        <v>122</v>
      </c>
    </row>
    <row r="17" spans="1:5" ht="30" x14ac:dyDescent="0.25">
      <c r="A17" s="12" t="s">
        <v>123</v>
      </c>
      <c r="B17" s="12" t="s">
        <v>124</v>
      </c>
      <c r="C17" s="12" t="s">
        <v>125</v>
      </c>
      <c r="D17" s="13">
        <v>5000</v>
      </c>
      <c r="E17" s="12" t="s">
        <v>11</v>
      </c>
    </row>
    <row r="18" spans="1:5" ht="30" x14ac:dyDescent="0.25">
      <c r="A18" s="12" t="s">
        <v>126</v>
      </c>
      <c r="B18" s="12" t="s">
        <v>127</v>
      </c>
      <c r="C18" s="12" t="s">
        <v>128</v>
      </c>
      <c r="D18" s="13">
        <v>12000</v>
      </c>
      <c r="E18" s="12" t="s">
        <v>7</v>
      </c>
    </row>
    <row r="19" spans="1:5" ht="45" x14ac:dyDescent="0.25">
      <c r="A19" s="12" t="s">
        <v>15</v>
      </c>
      <c r="B19" s="12" t="s">
        <v>129</v>
      </c>
      <c r="C19" s="12" t="s">
        <v>130</v>
      </c>
      <c r="D19" s="13">
        <v>15000</v>
      </c>
      <c r="E19" s="12" t="s">
        <v>55</v>
      </c>
    </row>
    <row r="20" spans="1:5" ht="30" x14ac:dyDescent="0.25">
      <c r="A20" s="12" t="s">
        <v>131</v>
      </c>
      <c r="B20" s="12" t="s">
        <v>132</v>
      </c>
      <c r="C20" s="12" t="s">
        <v>133</v>
      </c>
      <c r="D20" s="13">
        <v>3640</v>
      </c>
      <c r="E20" s="12" t="s">
        <v>122</v>
      </c>
    </row>
    <row r="21" spans="1:5" ht="75" x14ac:dyDescent="0.25">
      <c r="A21" s="12" t="s">
        <v>131</v>
      </c>
      <c r="B21" s="12" t="s">
        <v>134</v>
      </c>
      <c r="C21" s="12" t="s">
        <v>135</v>
      </c>
      <c r="D21" s="13">
        <v>9000</v>
      </c>
      <c r="E21" s="14" t="s">
        <v>267</v>
      </c>
    </row>
    <row r="22" spans="1:5" ht="60" x14ac:dyDescent="0.25">
      <c r="A22" s="12" t="s">
        <v>136</v>
      </c>
      <c r="B22" s="12" t="s">
        <v>137</v>
      </c>
      <c r="C22" s="12" t="s">
        <v>138</v>
      </c>
      <c r="D22" s="13">
        <v>10000</v>
      </c>
      <c r="E22" s="12" t="s">
        <v>264</v>
      </c>
    </row>
    <row r="23" spans="1:5" ht="75" x14ac:dyDescent="0.25">
      <c r="A23" s="12" t="s">
        <v>139</v>
      </c>
      <c r="B23" s="12" t="s">
        <v>140</v>
      </c>
      <c r="C23" s="12" t="s">
        <v>141</v>
      </c>
      <c r="D23" s="13">
        <v>7750</v>
      </c>
      <c r="E23" s="12" t="s">
        <v>88</v>
      </c>
    </row>
    <row r="24" spans="1:5" ht="60" x14ac:dyDescent="0.25">
      <c r="A24" s="12" t="s">
        <v>19</v>
      </c>
      <c r="B24" s="12" t="s">
        <v>142</v>
      </c>
      <c r="C24" s="12" t="s">
        <v>143</v>
      </c>
      <c r="D24" s="13">
        <v>12000</v>
      </c>
      <c r="E24" s="14" t="s">
        <v>268</v>
      </c>
    </row>
    <row r="25" spans="1:5" ht="45" x14ac:dyDescent="0.25">
      <c r="A25" s="12" t="s">
        <v>144</v>
      </c>
      <c r="B25" s="12" t="s">
        <v>145</v>
      </c>
      <c r="C25" s="12" t="s">
        <v>146</v>
      </c>
      <c r="D25" s="13">
        <v>5000</v>
      </c>
      <c r="E25" s="12" t="s">
        <v>103</v>
      </c>
    </row>
    <row r="26" spans="1:5" ht="60" x14ac:dyDescent="0.25">
      <c r="A26" s="12" t="s">
        <v>34</v>
      </c>
      <c r="B26" s="12" t="s">
        <v>147</v>
      </c>
      <c r="C26" s="12" t="s">
        <v>148</v>
      </c>
      <c r="D26" s="13">
        <v>4000</v>
      </c>
      <c r="E26" s="12" t="s">
        <v>11</v>
      </c>
    </row>
    <row r="27" spans="1:5" ht="30" x14ac:dyDescent="0.25">
      <c r="A27" s="12" t="s">
        <v>149</v>
      </c>
      <c r="B27" s="12" t="s">
        <v>150</v>
      </c>
      <c r="C27" s="12" t="s">
        <v>151</v>
      </c>
      <c r="D27" s="13">
        <v>7500</v>
      </c>
      <c r="E27" s="12" t="s">
        <v>99</v>
      </c>
    </row>
    <row r="28" spans="1:5" ht="30" x14ac:dyDescent="0.25">
      <c r="A28" s="12" t="s">
        <v>152</v>
      </c>
      <c r="B28" s="12" t="s">
        <v>153</v>
      </c>
      <c r="C28" s="12" t="s">
        <v>154</v>
      </c>
      <c r="D28" s="13">
        <v>1870</v>
      </c>
      <c r="E28" s="12" t="s">
        <v>27</v>
      </c>
    </row>
    <row r="29" spans="1:5" x14ac:dyDescent="0.25">
      <c r="A29" s="12" t="s">
        <v>152</v>
      </c>
      <c r="B29" s="12" t="s">
        <v>155</v>
      </c>
      <c r="C29" s="12" t="s">
        <v>156</v>
      </c>
      <c r="D29" s="13">
        <v>3880</v>
      </c>
      <c r="E29" s="12" t="s">
        <v>27</v>
      </c>
    </row>
    <row r="30" spans="1:5" ht="45" x14ac:dyDescent="0.25">
      <c r="A30" s="12" t="s">
        <v>157</v>
      </c>
      <c r="B30" s="12" t="s">
        <v>158</v>
      </c>
      <c r="C30" s="12" t="s">
        <v>159</v>
      </c>
      <c r="D30" s="13">
        <v>4710</v>
      </c>
      <c r="E30" s="12" t="s">
        <v>160</v>
      </c>
    </row>
    <row r="31" spans="1:5" ht="45" x14ac:dyDescent="0.25">
      <c r="A31" s="12" t="s">
        <v>161</v>
      </c>
      <c r="B31" s="12" t="s">
        <v>162</v>
      </c>
      <c r="C31" s="12" t="s">
        <v>163</v>
      </c>
      <c r="D31" s="13">
        <v>30000</v>
      </c>
      <c r="E31" s="14" t="s">
        <v>179</v>
      </c>
    </row>
    <row r="32" spans="1:5" ht="30" x14ac:dyDescent="0.25">
      <c r="A32" s="12" t="s">
        <v>164</v>
      </c>
      <c r="B32" s="12" t="s">
        <v>165</v>
      </c>
      <c r="C32" s="12" t="s">
        <v>166</v>
      </c>
      <c r="D32" s="13">
        <v>4900</v>
      </c>
      <c r="E32" s="12" t="s">
        <v>167</v>
      </c>
    </row>
    <row r="33" spans="1:5" ht="30" x14ac:dyDescent="0.25">
      <c r="A33" s="12" t="s">
        <v>168</v>
      </c>
      <c r="B33" s="12" t="s">
        <v>169</v>
      </c>
      <c r="C33" s="12" t="s">
        <v>170</v>
      </c>
      <c r="D33" s="13">
        <v>4000</v>
      </c>
      <c r="E33" s="12" t="s">
        <v>103</v>
      </c>
    </row>
    <row r="34" spans="1:5" ht="30" x14ac:dyDescent="0.25">
      <c r="A34" s="12" t="s">
        <v>40</v>
      </c>
      <c r="B34" s="12" t="s">
        <v>171</v>
      </c>
      <c r="C34" s="12" t="s">
        <v>172</v>
      </c>
      <c r="D34" s="13">
        <v>2500</v>
      </c>
      <c r="E34" s="12" t="s">
        <v>27</v>
      </c>
    </row>
    <row r="35" spans="1:5" ht="45" x14ac:dyDescent="0.25">
      <c r="A35" s="12" t="s">
        <v>173</v>
      </c>
      <c r="B35" s="12" t="s">
        <v>174</v>
      </c>
      <c r="C35" s="12" t="s">
        <v>175</v>
      </c>
      <c r="D35" s="13">
        <v>10000</v>
      </c>
      <c r="E35" s="12" t="s">
        <v>11</v>
      </c>
    </row>
    <row r="36" spans="1:5" ht="45" x14ac:dyDescent="0.25">
      <c r="A36" s="12" t="s">
        <v>176</v>
      </c>
      <c r="B36" s="12" t="s">
        <v>177</v>
      </c>
      <c r="C36" s="12" t="s">
        <v>178</v>
      </c>
      <c r="D36" s="13">
        <v>13050</v>
      </c>
      <c r="E36" s="12" t="s">
        <v>179</v>
      </c>
    </row>
    <row r="37" spans="1:5" ht="30" x14ac:dyDescent="0.25">
      <c r="A37" s="12" t="s">
        <v>180</v>
      </c>
      <c r="B37" s="12" t="s">
        <v>181</v>
      </c>
      <c r="C37" s="12" t="s">
        <v>156</v>
      </c>
      <c r="D37" s="13">
        <v>9400</v>
      </c>
      <c r="E37" s="12" t="s">
        <v>182</v>
      </c>
    </row>
    <row r="38" spans="1:5" ht="30" x14ac:dyDescent="0.25">
      <c r="A38" s="12" t="s">
        <v>180</v>
      </c>
      <c r="B38" s="12" t="s">
        <v>183</v>
      </c>
      <c r="C38" s="12" t="s">
        <v>156</v>
      </c>
      <c r="D38" s="13">
        <v>2820</v>
      </c>
      <c r="E38" s="12" t="s">
        <v>27</v>
      </c>
    </row>
    <row r="39" spans="1:5" ht="75" x14ac:dyDescent="0.25">
      <c r="A39" s="12" t="s">
        <v>184</v>
      </c>
      <c r="B39" s="12" t="s">
        <v>185</v>
      </c>
      <c r="C39" s="12" t="s">
        <v>186</v>
      </c>
      <c r="D39" s="13">
        <v>3000</v>
      </c>
      <c r="E39" s="12" t="s">
        <v>187</v>
      </c>
    </row>
    <row r="40" spans="1:5" ht="45" x14ac:dyDescent="0.25">
      <c r="A40" s="12" t="s">
        <v>188</v>
      </c>
      <c r="B40" s="12" t="s">
        <v>189</v>
      </c>
      <c r="C40" s="14" t="s">
        <v>281</v>
      </c>
      <c r="D40" s="13">
        <v>3500</v>
      </c>
      <c r="E40" s="12" t="s">
        <v>190</v>
      </c>
    </row>
    <row r="41" spans="1:5" ht="45" x14ac:dyDescent="0.25">
      <c r="A41" s="12" t="s">
        <v>191</v>
      </c>
      <c r="B41" s="12" t="s">
        <v>192</v>
      </c>
      <c r="C41" s="12" t="s">
        <v>193</v>
      </c>
      <c r="D41" s="13">
        <v>5000</v>
      </c>
      <c r="E41" s="12" t="s">
        <v>264</v>
      </c>
    </row>
    <row r="42" spans="1:5" ht="60" x14ac:dyDescent="0.25">
      <c r="A42" s="12" t="s">
        <v>194</v>
      </c>
      <c r="B42" s="12" t="s">
        <v>195</v>
      </c>
      <c r="C42" s="12" t="s">
        <v>196</v>
      </c>
      <c r="D42" s="13">
        <v>10000</v>
      </c>
      <c r="E42" s="12" t="s">
        <v>197</v>
      </c>
    </row>
    <row r="43" spans="1:5" ht="30" x14ac:dyDescent="0.25">
      <c r="A43" s="12" t="s">
        <v>198</v>
      </c>
      <c r="B43" s="12" t="s">
        <v>199</v>
      </c>
      <c r="C43" s="12" t="s">
        <v>200</v>
      </c>
      <c r="D43" s="13">
        <v>10000</v>
      </c>
      <c r="E43" s="12" t="s">
        <v>264</v>
      </c>
    </row>
    <row r="44" spans="1:5" ht="45" x14ac:dyDescent="0.25">
      <c r="A44" s="12" t="s">
        <v>201</v>
      </c>
      <c r="B44" s="12" t="s">
        <v>202</v>
      </c>
      <c r="C44" s="12" t="s">
        <v>203</v>
      </c>
      <c r="D44" s="13">
        <v>9000</v>
      </c>
      <c r="E44" s="12" t="s">
        <v>160</v>
      </c>
    </row>
    <row r="46" spans="1:5" ht="18.75" x14ac:dyDescent="0.3">
      <c r="C46" s="15" t="s">
        <v>283</v>
      </c>
      <c r="D46" s="16">
        <f>SUM(D5:D45)</f>
        <v>315020</v>
      </c>
    </row>
  </sheetData>
  <mergeCells count="1">
    <mergeCell ref="A2:E2"/>
  </mergeCells>
  <pageMargins left="0.25" right="0.25" top="0.75" bottom="0.75" header="0.3" footer="0.3"/>
  <pageSetup scale="8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sqref="A1:B1"/>
    </sheetView>
  </sheetViews>
  <sheetFormatPr defaultColWidth="23.7109375" defaultRowHeight="15" x14ac:dyDescent="0.25"/>
  <cols>
    <col min="4" max="4" width="23.7109375" style="3"/>
  </cols>
  <sheetData>
    <row r="1" spans="1:5" x14ac:dyDescent="0.25">
      <c r="A1" s="7" t="s">
        <v>275</v>
      </c>
      <c r="B1" s="7" t="s">
        <v>276</v>
      </c>
      <c r="C1" s="1" t="s">
        <v>0</v>
      </c>
      <c r="D1" s="4" t="s">
        <v>274</v>
      </c>
      <c r="E1" s="7" t="s">
        <v>273</v>
      </c>
    </row>
    <row r="2" spans="1:5" ht="45" x14ac:dyDescent="0.25">
      <c r="A2" s="2" t="s">
        <v>204</v>
      </c>
      <c r="B2" s="2" t="s">
        <v>205</v>
      </c>
      <c r="C2" s="2" t="s">
        <v>206</v>
      </c>
      <c r="D2" s="5">
        <v>2500</v>
      </c>
      <c r="E2" s="6" t="s">
        <v>270</v>
      </c>
    </row>
    <row r="3" spans="1:5" ht="120" x14ac:dyDescent="0.25">
      <c r="A3" s="2" t="s">
        <v>208</v>
      </c>
      <c r="B3" s="2" t="s">
        <v>209</v>
      </c>
      <c r="C3" s="2" t="s">
        <v>210</v>
      </c>
      <c r="D3" s="5">
        <v>5000</v>
      </c>
      <c r="E3" s="6" t="s">
        <v>269</v>
      </c>
    </row>
    <row r="4" spans="1:5" ht="90" x14ac:dyDescent="0.25">
      <c r="A4" s="2" t="s">
        <v>211</v>
      </c>
      <c r="B4" s="2" t="s">
        <v>212</v>
      </c>
      <c r="C4" s="2" t="s">
        <v>213</v>
      </c>
      <c r="D4" s="5">
        <v>5000</v>
      </c>
      <c r="E4" s="6" t="s">
        <v>270</v>
      </c>
    </row>
    <row r="5" spans="1:5" ht="75" x14ac:dyDescent="0.25">
      <c r="A5" s="2" t="s">
        <v>214</v>
      </c>
      <c r="B5" s="2" t="s">
        <v>215</v>
      </c>
      <c r="C5" s="2" t="s">
        <v>216</v>
      </c>
      <c r="D5" s="5">
        <v>765</v>
      </c>
      <c r="E5" s="2" t="s">
        <v>217</v>
      </c>
    </row>
    <row r="6" spans="1:5" ht="45" x14ac:dyDescent="0.25">
      <c r="A6" s="2" t="s">
        <v>218</v>
      </c>
      <c r="B6" s="2" t="s">
        <v>219</v>
      </c>
      <c r="C6" s="2" t="s">
        <v>220</v>
      </c>
      <c r="D6" s="5">
        <v>5000</v>
      </c>
      <c r="E6" s="6" t="s">
        <v>270</v>
      </c>
    </row>
    <row r="7" spans="1:5" ht="75" x14ac:dyDescent="0.25">
      <c r="A7" s="2" t="s">
        <v>221</v>
      </c>
      <c r="B7" s="2" t="s">
        <v>222</v>
      </c>
      <c r="C7" s="2" t="s">
        <v>223</v>
      </c>
      <c r="D7" s="5">
        <v>5000</v>
      </c>
      <c r="E7" s="2" t="s">
        <v>224</v>
      </c>
    </row>
    <row r="8" spans="1:5" ht="75" x14ac:dyDescent="0.25">
      <c r="A8" s="2" t="s">
        <v>225</v>
      </c>
      <c r="B8" s="2" t="s">
        <v>226</v>
      </c>
      <c r="C8" s="2" t="s">
        <v>227</v>
      </c>
      <c r="D8" s="5">
        <v>5000</v>
      </c>
      <c r="E8" s="2" t="s">
        <v>224</v>
      </c>
    </row>
    <row r="9" spans="1:5" ht="60" x14ac:dyDescent="0.25">
      <c r="A9" s="2" t="s">
        <v>168</v>
      </c>
      <c r="B9" s="2" t="s">
        <v>228</v>
      </c>
      <c r="C9" s="2" t="s">
        <v>229</v>
      </c>
      <c r="D9" s="5">
        <v>765</v>
      </c>
      <c r="E9" s="2" t="s">
        <v>217</v>
      </c>
    </row>
    <row r="10" spans="1:5" ht="45" x14ac:dyDescent="0.25">
      <c r="A10" s="2" t="s">
        <v>230</v>
      </c>
      <c r="B10" s="2" t="s">
        <v>231</v>
      </c>
      <c r="C10" s="2" t="s">
        <v>232</v>
      </c>
      <c r="D10" s="5">
        <v>7000</v>
      </c>
      <c r="E10" s="2" t="s">
        <v>233</v>
      </c>
    </row>
    <row r="11" spans="1:5" ht="60" x14ac:dyDescent="0.25">
      <c r="A11" s="2" t="s">
        <v>40</v>
      </c>
      <c r="B11" s="2" t="s">
        <v>234</v>
      </c>
      <c r="C11" s="2" t="s">
        <v>235</v>
      </c>
      <c r="D11" s="5">
        <v>2500</v>
      </c>
      <c r="E11" s="6" t="s">
        <v>270</v>
      </c>
    </row>
    <row r="12" spans="1:5" ht="60" x14ac:dyDescent="0.25">
      <c r="A12" s="2" t="s">
        <v>236</v>
      </c>
      <c r="B12" s="2" t="s">
        <v>237</v>
      </c>
      <c r="C12" s="2" t="s">
        <v>238</v>
      </c>
      <c r="D12" s="5">
        <v>2600</v>
      </c>
      <c r="E12" s="6" t="s">
        <v>270</v>
      </c>
    </row>
    <row r="13" spans="1:5" ht="30" x14ac:dyDescent="0.25">
      <c r="A13" s="2" t="s">
        <v>239</v>
      </c>
      <c r="B13" s="2" t="s">
        <v>240</v>
      </c>
      <c r="C13" s="2" t="s">
        <v>241</v>
      </c>
      <c r="D13" s="5">
        <v>500</v>
      </c>
      <c r="E13" s="2" t="s">
        <v>242</v>
      </c>
    </row>
    <row r="14" spans="1:5" ht="90" x14ac:dyDescent="0.25">
      <c r="A14" s="2" t="s">
        <v>243</v>
      </c>
      <c r="B14" s="2" t="s">
        <v>244</v>
      </c>
      <c r="C14" s="2" t="s">
        <v>245</v>
      </c>
      <c r="D14" s="5">
        <v>5000</v>
      </c>
      <c r="E14" s="6" t="s">
        <v>270</v>
      </c>
    </row>
    <row r="15" spans="1:5" ht="60" x14ac:dyDescent="0.25">
      <c r="A15" s="2" t="s">
        <v>246</v>
      </c>
      <c r="B15" s="2" t="s">
        <v>247</v>
      </c>
      <c r="C15" s="2" t="s">
        <v>248</v>
      </c>
      <c r="D15" s="5">
        <v>5000</v>
      </c>
      <c r="E15" s="6" t="s">
        <v>270</v>
      </c>
    </row>
    <row r="16" spans="1:5" ht="165" x14ac:dyDescent="0.25">
      <c r="A16" s="2" t="s">
        <v>249</v>
      </c>
      <c r="B16" s="2" t="s">
        <v>250</v>
      </c>
      <c r="C16" s="2" t="s">
        <v>251</v>
      </c>
      <c r="D16" s="5">
        <v>5465</v>
      </c>
      <c r="E16" s="6" t="s">
        <v>270</v>
      </c>
    </row>
    <row r="17" spans="1:5" ht="90" x14ac:dyDescent="0.25">
      <c r="A17" s="2" t="s">
        <v>252</v>
      </c>
      <c r="B17" s="2" t="s">
        <v>253</v>
      </c>
      <c r="C17" s="2" t="s">
        <v>254</v>
      </c>
      <c r="D17" s="5">
        <v>10000</v>
      </c>
      <c r="E17" s="6" t="s">
        <v>271</v>
      </c>
    </row>
    <row r="18" spans="1:5" ht="45" x14ac:dyDescent="0.25">
      <c r="A18" s="2" t="s">
        <v>255</v>
      </c>
      <c r="B18" s="2" t="s">
        <v>256</v>
      </c>
      <c r="C18" s="2" t="s">
        <v>257</v>
      </c>
      <c r="D18" s="5">
        <v>5000</v>
      </c>
      <c r="E18" s="6" t="s">
        <v>207</v>
      </c>
    </row>
    <row r="19" spans="1:5" ht="60" x14ac:dyDescent="0.25">
      <c r="A19" s="2" t="s">
        <v>258</v>
      </c>
      <c r="B19" s="2" t="s">
        <v>259</v>
      </c>
      <c r="C19" s="2" t="s">
        <v>260</v>
      </c>
      <c r="D19" s="5">
        <v>4000</v>
      </c>
      <c r="E19" s="2" t="s">
        <v>224</v>
      </c>
    </row>
    <row r="20" spans="1:5" ht="75" x14ac:dyDescent="0.25">
      <c r="A20" s="2" t="s">
        <v>261</v>
      </c>
      <c r="B20" s="6" t="s">
        <v>272</v>
      </c>
      <c r="C20" s="2" t="s">
        <v>262</v>
      </c>
      <c r="D20" s="5">
        <v>1000</v>
      </c>
      <c r="E20" s="6"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Muskegon Fall 2017</vt:lpstr>
      <vt:lpstr>Muskegon Spring 2018</vt:lpstr>
      <vt:lpstr>Mason Spring 2018</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Janelle Mair</dc:creator>
  <cp:lastModifiedBy>Melissa Freye</cp:lastModifiedBy>
  <cp:lastPrinted>2018-05-07T15:34:35Z</cp:lastPrinted>
  <dcterms:created xsi:type="dcterms:W3CDTF">2018-05-02T15:41:02Z</dcterms:created>
  <dcterms:modified xsi:type="dcterms:W3CDTF">2018-05-07T15:34:56Z</dcterms:modified>
</cp:coreProperties>
</file>